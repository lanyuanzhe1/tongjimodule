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e889947bfe45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35ec100f47c42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color theme="1"/>
      <x:name val="宋体"/>
      <x:scheme val="minor"/>
    </x:font>
    <x:font>
      <x:sz val="10"/>
      <x:color rgb="FF555555"/>
      <x:name val="Arial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</x:fonts>
  <x:fills count="3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BF2F9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>
      <x:left/>
      <x:right/>
      <x:top/>
      <x:bottom/>
      <x:diagonal/>
    </x:border>
    <x:border>
      <x:left style="medium">
        <x:color rgb="FFEEEEEE"/>
      </x:left>
      <x:right style="medium">
        <x:color rgb="FFEEEEEE"/>
      </x:right>
      <x:top style="medium">
        <x:color rgb="FFEEEEEE"/>
      </x:top>
      <x:bottom style="medium">
        <x:color rgb="FFEEEEEE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 applyAlignment="1">
      <x:alignment vertical="center"/>
    </x:xf>
    <x:xf numFmtId="43" fontId="0" fillId="0" borderId="0" applyAlignment="1">
      <x:alignment vertical="center"/>
    </x:xf>
    <x:xf numFmtId="44" fontId="0" fillId="0" borderId="0" applyAlignment="1">
      <x:alignment vertical="center"/>
    </x:xf>
    <x:xf numFmtId="9" fontId="0" fillId="0" borderId="0" applyAlignment="1">
      <x:alignment vertical="center"/>
    </x:xf>
    <x:xf numFmtId="41" fontId="0" fillId="0" borderId="0" applyAlignment="1">
      <x:alignment vertical="center"/>
    </x:xf>
    <x:xf numFmtId="42" fontId="0" fillId="0" borderId="0" applyAlignment="1">
      <x:alignment vertical="center"/>
    </x:xf>
    <x:xf numFmtId="0" fontId="2" fillId="0" borderId="0" applyAlignment="1">
      <x:alignment vertical="center"/>
    </x:xf>
    <x:xf numFmtId="0" fontId="3" fillId="0" borderId="0" applyAlignment="1">
      <x:alignment vertical="center"/>
    </x:xf>
    <x:xf numFmtId="0" fontId="0" fillId="4" borderId="2" applyAlignment="1">
      <x:alignment vertical="center"/>
    </x:xf>
    <x:xf numFmtId="0" fontId="4" fillId="0" borderId="0" applyAlignment="1">
      <x:alignment vertical="center"/>
    </x:xf>
    <x:xf numFmtId="0" fontId="5" fillId="0" borderId="0" applyAlignment="1">
      <x:alignment vertical="center"/>
    </x:xf>
    <x:xf numFmtId="0" fontId="6" fillId="0" borderId="0" applyAlignment="1">
      <x:alignment vertical="center"/>
    </x:xf>
    <x:xf numFmtId="0" fontId="7" fillId="0" borderId="3" applyAlignment="1">
      <x:alignment vertical="center"/>
    </x:xf>
    <x:xf numFmtId="0" fontId="8" fillId="0" borderId="3" applyAlignment="1">
      <x:alignment vertical="center"/>
    </x:xf>
    <x:xf numFmtId="0" fontId="9" fillId="0" borderId="4" applyAlignment="1">
      <x:alignment vertical="center"/>
    </x:xf>
    <x:xf numFmtId="0" fontId="9" fillId="0" borderId="0" applyAlignment="1">
      <x:alignment vertical="center"/>
    </x:xf>
    <x:xf numFmtId="0" fontId="10" fillId="5" borderId="5" applyAlignment="1">
      <x:alignment vertical="center"/>
    </x:xf>
    <x:xf numFmtId="0" fontId="11" fillId="6" borderId="6" applyAlignment="1">
      <x:alignment vertical="center"/>
    </x:xf>
    <x:xf numFmtId="0" fontId="12" fillId="6" borderId="5" applyAlignment="1">
      <x:alignment vertical="center"/>
    </x:xf>
    <x:xf numFmtId="0" fontId="13" fillId="7" borderId="7" applyAlignment="1">
      <x:alignment vertical="center"/>
    </x:xf>
    <x:xf numFmtId="0" fontId="14" fillId="0" borderId="8" applyAlignment="1">
      <x:alignment vertical="center"/>
    </x:xf>
    <x:xf numFmtId="0" fontId="15" fillId="0" borderId="9" applyAlignment="1">
      <x:alignment vertical="center"/>
    </x:xf>
    <x:xf numFmtId="0" fontId="16" fillId="8" borderId="0" applyAlignment="1">
      <x:alignment vertical="center"/>
    </x:xf>
    <x:xf numFmtId="0" fontId="17" fillId="9" borderId="0" applyAlignment="1">
      <x:alignment vertical="center"/>
    </x:xf>
    <x:xf numFmtId="0" fontId="18" fillId="10" borderId="0" applyAlignment="1">
      <x:alignment vertical="center"/>
    </x:xf>
    <x:xf numFmtId="0" fontId="19" fillId="11" borderId="0" applyAlignment="1">
      <x:alignment vertical="center"/>
    </x:xf>
    <x:xf numFmtId="0" fontId="20" fillId="12" borderId="0" applyAlignment="1">
      <x:alignment vertical="center"/>
    </x:xf>
    <x:xf numFmtId="0" fontId="20" fillId="13" borderId="0" applyAlignment="1">
      <x:alignment vertical="center"/>
    </x:xf>
    <x:xf numFmtId="0" fontId="19" fillId="14" borderId="0" applyAlignment="1">
      <x:alignment vertical="center"/>
    </x:xf>
    <x:xf numFmtId="0" fontId="19" fillId="15" borderId="0" applyAlignment="1">
      <x:alignment vertical="center"/>
    </x:xf>
    <x:xf numFmtId="0" fontId="20" fillId="16" borderId="0" applyAlignment="1">
      <x:alignment vertical="center"/>
    </x:xf>
    <x:xf numFmtId="0" fontId="20" fillId="17" borderId="0" applyAlignment="1">
      <x:alignment vertical="center"/>
    </x:xf>
    <x:xf numFmtId="0" fontId="19" fillId="18" borderId="0" applyAlignment="1">
      <x:alignment vertical="center"/>
    </x:xf>
    <x:xf numFmtId="0" fontId="19" fillId="19" borderId="0" applyAlignment="1">
      <x:alignment vertical="center"/>
    </x:xf>
    <x:xf numFmtId="0" fontId="20" fillId="20" borderId="0" applyAlignment="1">
      <x:alignment vertical="center"/>
    </x:xf>
    <x:xf numFmtId="0" fontId="20" fillId="21" borderId="0" applyAlignment="1">
      <x:alignment vertical="center"/>
    </x:xf>
    <x:xf numFmtId="0" fontId="19" fillId="22" borderId="0" applyAlignment="1">
      <x:alignment vertical="center"/>
    </x:xf>
    <x:xf numFmtId="0" fontId="19" fillId="23" borderId="0" applyAlignment="1">
      <x:alignment vertical="center"/>
    </x:xf>
    <x:xf numFmtId="0" fontId="20" fillId="24" borderId="0" applyAlignment="1">
      <x:alignment vertical="center"/>
    </x:xf>
    <x:xf numFmtId="0" fontId="20" fillId="25" borderId="0" applyAlignment="1">
      <x:alignment vertical="center"/>
    </x:xf>
    <x:xf numFmtId="0" fontId="19" fillId="26" borderId="0" applyAlignment="1">
      <x:alignment vertical="center"/>
    </x:xf>
    <x:xf numFmtId="0" fontId="19" fillId="27" borderId="0" applyAlignment="1">
      <x:alignment vertical="center"/>
    </x:xf>
    <x:xf numFmtId="0" fontId="20" fillId="28" borderId="0" applyAlignment="1">
      <x:alignment vertical="center"/>
    </x:xf>
    <x:xf numFmtId="0" fontId="20" fillId="29" borderId="0" applyAlignment="1">
      <x:alignment vertical="center"/>
    </x:xf>
    <x:xf numFmtId="0" fontId="19" fillId="30" borderId="0" applyAlignment="1">
      <x:alignment vertical="center"/>
    </x:xf>
    <x:xf numFmtId="0" fontId="19" fillId="31" borderId="0" applyAlignment="1">
      <x:alignment vertical="center"/>
    </x:xf>
    <x:xf numFmtId="0" fontId="20" fillId="32" borderId="0" applyAlignment="1">
      <x:alignment vertical="center"/>
    </x:xf>
    <x:xf numFmtId="0" fontId="20" fillId="33" borderId="0" applyAlignment="1">
      <x:alignment vertical="center"/>
    </x:xf>
    <x:xf numFmtId="0" fontId="19" fillId="34" borderId="0" applyAlignment="1">
      <x:alignment vertical="center"/>
    </x:xf>
  </x:cellStyleXfs>
  <x:cellXfs count="6">
    <x:xf numFmtId="0" fontId="0" fillId="0" borderId="0" xfId="0" applyAlignment="1">
      <x:alignment vertical="center"/>
    </x:xf>
    <x:xf numFmtId="0" fontId="0" fillId="0" borderId="0" xfId="0" applyAlignment="1">
      <x:alignment vertical="center"/>
    </x:xf>
    <x:xf numFmtId="0" fontId="1" fillId="0" borderId="0" xfId="0" applyAlignment="1">
      <x:alignment vertical="center"/>
    </x:xf>
    <x:xf numFmtId="0" fontId="1" fillId="2" borderId="1" xfId="0" applyAlignment="1">
      <x:alignment horizontal="center" vertical="center" wrapText="1"/>
    </x:xf>
    <x:xf numFmtId="0" fontId="1" fillId="3" borderId="1" xfId="0" applyAlignment="1">
      <x:alignment horizontal="center" vertical="center" wrapText="1"/>
    </x:xf>
    <x:xf numFmtId="0" fontId="0" fillId="0" borderId="0" xfId="0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4beeade2f9471c" /><Relationship Type="http://schemas.openxmlformats.org/officeDocument/2006/relationships/theme" Target="/xl/theme/theme1.xml" Id="Rf62de003a34b41ac" /><Relationship Type="http://schemas.openxmlformats.org/officeDocument/2006/relationships/sharedStrings" Target="/xl/sharedStrings.xml" Id="Rded5dc66ad384350" /><Relationship Type="http://schemas.openxmlformats.org/officeDocument/2006/relationships/worksheet" Target="/xl/worksheets/sheet1.xml" Id="Rb35ec100f47c421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8.727272987365723" defaultRowHeight="14"/>
  <x:cols>
    <x:col min="1" max="1" width="32" style="5" customWidth="1"/>
    <x:col min="3" max="4" width="9.181818008422852" style="5" customWidth="1"/>
    <x:col min="5" max="5" width="9.545454978942871" style="5" customWidth="1"/>
    <x:col min="6" max="11" width="9.181818008422852" style="5" customWidth="1"/>
    <x:col min="12" max="12" width="8.545454978942871" style="5" customWidth="1"/>
    <x:col min="13" max="14" width="9.181818008422852" style="5" customWidth="1"/>
    <x:col min="15" max="15" width="8.545454978942871" style="5" customWidth="1"/>
    <x:col min="16" max="16" width="9.181818008422852" style="5" customWidth="1"/>
  </x:cols>
  <x:sheetData>
    <x:row r="1">
      <x:c r="A1" s="1" t="inlineStr">
        <x:is>
          <x:t xml:space="preserve">数据库：分省年度数据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</x:row>
    <x:row r="2">
      <x:c r="A2" s="1" t="inlineStr">
        <x:is>
          <x:t xml:space="preserve">地区：江苏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  <x:c r="N2" s="1" t="n"/>
      <x:c r="O2" s="1" t="n"/>
      <x:c r="P2" s="1" t="n"/>
    </x:row>
    <x:row r="3">
      <x:c r="A3" s="1" t="inlineStr">
        <x:is>
          <x:t xml:space="preserve">时间：2011年-2025年</x:t>
        </x:is>
      </x:c>
      <x:c r="B3" s="1" t="n"/>
      <x:c r="C3" s="1" t="n"/>
      <x:c r="D3" s="1" t="n"/>
      <x:c r="E3" s="1" t="n"/>
      <x:c r="F3" s="1" t="n"/>
      <x:c r="G3" s="1" t="n"/>
      <x:c r="H3" s="1" t="n"/>
      <x:c r="I3" s="1" t="n"/>
      <x:c r="J3" s="1" t="n"/>
      <x:c r="K3" s="1" t="n"/>
      <x:c r="L3" s="1" t="n"/>
      <x:c r="M3" s="1" t="n"/>
      <x:c r="N3" s="1" t="n"/>
      <x:c r="O3" s="1" t="n"/>
      <x:c r="P3" s="1" t="n"/>
    </x:row>
    <x:row r="4">
      <x:c r="A4" s="1" t="inlineStr">
        <x:is>
          <x:t xml:space="preserve">指标</x:t>
        </x:is>
      </x:c>
      <x:c r="B4" s="1" t="inlineStr">
        <x:is>
          <x:t xml:space="preserve">2025年</x:t>
        </x:is>
      </x:c>
      <x:c r="C4" s="1" t="inlineStr">
        <x:is>
          <x:t xml:space="preserve">2024年</x:t>
        </x:is>
      </x:c>
      <x:c r="D4" s="1" t="inlineStr">
        <x:is>
          <x:t xml:space="preserve">2023年</x:t>
        </x:is>
      </x:c>
      <x:c r="E4" s="1" t="inlineStr">
        <x:is>
          <x:t xml:space="preserve">2022年</x:t>
        </x:is>
      </x:c>
      <x:c r="F4" s="1" t="inlineStr">
        <x:is>
          <x:t xml:space="preserve">2021年</x:t>
        </x:is>
      </x:c>
      <x:c r="G4" s="1" t="inlineStr">
        <x:is>
          <x:t xml:space="preserve">2020年</x:t>
        </x:is>
      </x:c>
      <x:c r="H4" s="1" t="inlineStr">
        <x:is>
          <x:t xml:space="preserve">2019年</x:t>
        </x:is>
      </x:c>
      <x:c r="I4" s="1" t="inlineStr">
        <x:is>
          <x:t xml:space="preserve">2018年</x:t>
        </x:is>
      </x:c>
      <x:c r="J4" s="1" t="inlineStr">
        <x:is>
          <x:t xml:space="preserve">2017年</x:t>
        </x:is>
      </x:c>
      <x:c r="K4" s="1" t="inlineStr">
        <x:is>
          <x:t xml:space="preserve">2016年</x:t>
        </x:is>
      </x:c>
      <x:c r="L4" s="1" t="inlineStr">
        <x:is>
          <x:t xml:space="preserve">2015年</x:t>
        </x:is>
      </x:c>
      <x:c r="M4" s="1" t="inlineStr">
        <x:is>
          <x:t xml:space="preserve">2014年</x:t>
        </x:is>
      </x:c>
      <x:c r="N4" s="1" t="inlineStr">
        <x:is>
          <x:t xml:space="preserve">2013年</x:t>
        </x:is>
      </x:c>
      <x:c r="O4" s="1" t="inlineStr">
        <x:is>
          <x:t xml:space="preserve">2012年</x:t>
        </x:is>
      </x:c>
      <x:c r="P4" s="1" t="inlineStr">
        <x:is>
          <x:t xml:space="preserve">2011年</x:t>
        </x:is>
      </x:c>
    </x:row>
    <x:row r="5">
      <x:c r="A5" s="1" t="inlineStr">
        <x:is>
          <x:t xml:space="preserve">城乡居民生活用电（万千瓦时）</x:t>
        </x:is>
      </x:c>
      <x:c r="E5" s="1" t="n">
        <x:v>10152500</x:v>
      </x:c>
      <x:c r="F5" s="1" t="n">
        <x:v>8714492</x:v>
      </x:c>
      <x:c r="G5" s="1" t="n">
        <x:v>7977014</x:v>
      </x:c>
      <x:c r="H5" s="1" t="n">
        <x:v>7674830</x:v>
      </x:c>
      <x:c r="I5" s="1" t="n">
        <x:v>7582730</x:v>
      </x:c>
      <x:c r="J5" s="1" t="n">
        <x:v>6843172</x:v>
      </x:c>
      <x:c r="K5" s="1" t="n">
        <x:v>6195394</x:v>
      </x:c>
      <x:c r="L5" s="1" t="n">
        <x:v>5291965</x:v>
      </x:c>
      <x:c r="M5" s="1" t="n">
        <x:v>4968715</x:v>
      </x:c>
      <x:c r="N5" s="1" t="n">
        <x:v>5470800</x:v>
      </x:c>
      <x:c r="O5" s="1" t="n">
        <x:v>4688590</x:v>
      </x:c>
      <x:c r="P5" s="1" t="n">
        <x:v>4082109</x:v>
      </x:c>
    </x:row>
    <x:row r="6" s="5" customFormat="1" ht="14.75" customHeight="1">
      <x:c r="A6" s="1" t="inlineStr">
        <x:is>
          <x:t xml:space="preserve">同比增长</x:t>
        </x:is>
      </x:c>
      <x:c r="E6" s="2" t="n">
        <x:v>16.5</x:v>
      </x:c>
      <x:c r="F6" s="1" t="n">
        <x:v>9.25</x:v>
      </x:c>
      <x:c r="G6" s="1" t="n">
        <x:v>3.94</x:v>
      </x:c>
      <x:c r="H6" s="1" t="n">
        <x:v>1.21</x:v>
      </x:c>
      <x:c r="I6" s="1" t="n">
        <x:v>10.81</x:v>
      </x:c>
      <x:c r="J6" s="1" t="n">
        <x:v>10.46</x:v>
      </x:c>
      <x:c r="K6" s="1" t="n">
        <x:v>17.07</x:v>
      </x:c>
      <x:c r="L6" s="1" t="n">
        <x:v>6.51</x:v>
      </x:c>
      <x:c r="M6" s="1" t="n">
        <x:v>-9.18</x:v>
      </x:c>
      <x:c r="N6" s="1" t="n">
        <x:v>16.68</x:v>
      </x:c>
      <x:c r="O6" s="1" t="n">
        <x:v>14.86</x:v>
      </x:c>
      <x:c r="P6" s="1" t="n">
        <x:v>4.77</x:v>
      </x:c>
    </x:row>
    <x:row r="7" s="5" customFormat="1" ht="14.75" customHeight="1">
      <x:c r="A7" s="1" t="inlineStr">
        <x:is>
          <x:t xml:space="preserve">社会总用电量（亿千瓦时）</x:t>
        </x:is>
      </x:c>
      <x:c r="B7" s="3" t="n">
        <x:v>8895.4</x:v>
      </x:c>
      <x:c r="C7" s="3" t="n">
        <x:v>8486.9</x:v>
      </x:c>
      <x:c r="D7" s="4" t="n">
        <x:v>7833</x:v>
      </x:c>
      <x:c r="E7" s="3" t="n">
        <x:v>7399.55</x:v>
      </x:c>
      <x:c r="F7" s="3" t="n">
        <x:v>7101.16</x:v>
      </x:c>
      <x:c r="G7" s="3" t="n">
        <x:v>6373.71</x:v>
      </x:c>
      <x:c r="H7" s="3" t="n">
        <x:v>6264.36</x:v>
      </x:c>
      <x:c r="I7" s="3" t="n">
        <x:v>6128.27</x:v>
      </x:c>
      <x:c r="J7" s="3" t="n">
        <x:v>5807.89</x:v>
      </x:c>
      <x:c r="K7" s="3" t="n">
        <x:v>5458.95</x:v>
      </x:c>
      <x:c r="L7" s="3" t="n">
        <x:v>5114.7</x:v>
      </x:c>
      <x:c r="M7" s="3" t="n">
        <x:v>5012.54</x:v>
      </x:c>
      <x:c r="N7" s="3" t="n">
        <x:v>4956.62</x:v>
      </x:c>
      <x:c r="O7" s="4" t="n">
        <x:v>4580.9</x:v>
      </x:c>
      <x:c r="P7" s="3" t="n">
        <x:v>4281.62</x:v>
      </x:c>
    </x:row>
    <x:row r="8" s="5" customFormat="1" ht="14.75" customHeight="1">
      <x:c r="A8" s="1" t="inlineStr">
        <x:is>
          <x:t xml:space="preserve">同比增长</x:t>
        </x:is>
      </x:c>
      <x:c r="B8" s="3">
        <x:f>ROUND((B7-C7)/C7*100,2)</x:f>
        <x:v>4.81</x:v>
      </x:c>
      <x:c r="C8" s="3">
        <x:f>ROUND((C7-D7)/D7*100,2)</x:f>
        <x:v>8.35</x:v>
      </x:c>
      <x:c r="D8" s="3">
        <x:f>ROUND((D7-E7)/E7*100,2)</x:f>
        <x:v>5.86</x:v>
      </x:c>
      <x:c r="E8" s="3" t="n">
        <x:v>4.2</x:v>
      </x:c>
      <x:c r="F8" s="3" t="n">
        <x:v>11.41</x:v>
      </x:c>
      <x:c r="G8" s="3" t="n">
        <x:v>1.75</x:v>
      </x:c>
      <x:c r="H8" s="3" t="n">
        <x:v>2.22</x:v>
      </x:c>
      <x:c r="I8" s="3" t="n">
        <x:v>5.52</x:v>
      </x:c>
      <x:c r="J8" s="3" t="n">
        <x:v>6.39</x:v>
      </x:c>
      <x:c r="K8" s="3" t="n">
        <x:v>6.73</x:v>
      </x:c>
      <x:c r="L8" s="3" t="n">
        <x:v>2.04</x:v>
      </x:c>
      <x:c r="M8" s="3" t="n">
        <x:v>1.13</x:v>
      </x:c>
      <x:c r="N8" s="3" t="n">
        <x:v>8.199999999999999</x:v>
      </x:c>
      <x:c r="O8" s="4" t="n">
        <x:v>6.99</x:v>
      </x:c>
      <x:c r="P8" s="3" t="n">
        <x:v>10.8</x:v>
      </x:c>
    </x:row>
    <x:row r="13">
      <x:c r="A13" s="1" t="inlineStr">
        <x:is>
          <x:t xml:space="preserve">数据库：分省年度数据</x:t>
        </x:is>
      </x:c>
      <x:c r="B13" s="1" t="n"/>
      <x:c r="C13" s="1" t="n"/>
      <x:c r="D13" s="1" t="n"/>
      <x:c r="E13" s="1" t="n"/>
      <x:c r="F13" s="1" t="n"/>
      <x:c r="G13" s="1" t="n"/>
      <x:c r="H13" s="1" t="n"/>
      <x:c r="I13" s="1" t="n"/>
      <x:c r="J13" s="1" t="n"/>
      <x:c r="K13" s="1" t="n"/>
      <x:c r="L13" s="1" t="n"/>
      <x:c r="M13" s="1" t="n"/>
      <x:c r="N13" s="1" t="n"/>
      <x:c r="O13" s="1" t="n"/>
      <x:c r="P13" s="1" t="n"/>
    </x:row>
    <x:row r="14">
      <x:c r="A14" s="1" t="inlineStr">
        <x:is>
          <x:t xml:space="preserve">地区：苏州</x:t>
        </x:is>
      </x:c>
      <x:c r="B14" s="1" t="n"/>
      <x:c r="C14" s="1" t="n"/>
      <x:c r="D14" s="1" t="n"/>
      <x:c r="E14" s="1" t="n"/>
      <x:c r="F14" s="1" t="n"/>
      <x:c r="G14" s="1" t="n"/>
      <x:c r="H14" s="1" t="n"/>
      <x:c r="I14" s="1" t="n"/>
      <x:c r="J14" s="1" t="n"/>
      <x:c r="K14" s="1" t="n"/>
      <x:c r="L14" s="1" t="n"/>
      <x:c r="M14" s="1" t="n"/>
      <x:c r="N14" s="1" t="n"/>
      <x:c r="O14" s="1" t="n"/>
      <x:c r="P14" s="1" t="n"/>
    </x:row>
    <x:row r="15">
      <x:c r="A15" s="1" t="inlineStr">
        <x:is>
          <x:t xml:space="preserve">时间：2011年-2025年</x:t>
        </x:is>
      </x:c>
      <x:c r="B15" s="1" t="n"/>
      <x:c r="C15" s="1" t="n"/>
      <x:c r="D15" s="1" t="n"/>
      <x:c r="E15" s="1" t="n"/>
      <x:c r="F15" s="1" t="n"/>
      <x:c r="G15" s="1" t="n"/>
      <x:c r="H15" s="1" t="n"/>
      <x:c r="I15" s="1" t="n"/>
      <x:c r="J15" s="1" t="n"/>
      <x:c r="K15" s="1" t="n"/>
      <x:c r="L15" s="1" t="n"/>
      <x:c r="M15" s="1" t="n"/>
      <x:c r="N15" s="1" t="n"/>
      <x:c r="O15" s="1" t="n"/>
      <x:c r="P15" s="1" t="n"/>
    </x:row>
    <x:row r="16" s="5" customFormat="1" ht="14.75" customHeight="1">
      <x:c r="A16" s="1" t="inlineStr">
        <x:is>
          <x:t xml:space="preserve">指标</x:t>
        </x:is>
      </x:c>
      <x:c r="B16" s="1" t="inlineStr">
        <x:is>
          <x:t xml:space="preserve">2025年</x:t>
        </x:is>
      </x:c>
      <x:c r="C16" s="1" t="inlineStr">
        <x:is>
          <x:t xml:space="preserve">2024年</x:t>
        </x:is>
      </x:c>
      <x:c r="D16" s="1" t="inlineStr">
        <x:is>
          <x:t xml:space="preserve">2023年</x:t>
        </x:is>
      </x:c>
      <x:c r="E16" s="1" t="inlineStr">
        <x:is>
          <x:t xml:space="preserve">2022年</x:t>
        </x:is>
      </x:c>
      <x:c r="F16" s="1" t="inlineStr">
        <x:is>
          <x:t xml:space="preserve">2021年</x:t>
        </x:is>
      </x:c>
      <x:c r="G16" s="1" t="inlineStr">
        <x:is>
          <x:t xml:space="preserve">2020年</x:t>
        </x:is>
      </x:c>
      <x:c r="H16" s="1" t="inlineStr">
        <x:is>
          <x:t xml:space="preserve">2019年</x:t>
        </x:is>
      </x:c>
      <x:c r="I16" s="1" t="inlineStr">
        <x:is>
          <x:t xml:space="preserve">2018年</x:t>
        </x:is>
      </x:c>
      <x:c r="J16" s="1" t="inlineStr">
        <x:is>
          <x:t xml:space="preserve">2017年</x:t>
        </x:is>
      </x:c>
      <x:c r="K16" s="1" t="inlineStr">
        <x:is>
          <x:t xml:space="preserve">2016年</x:t>
        </x:is>
      </x:c>
      <x:c r="L16" s="1" t="inlineStr">
        <x:is>
          <x:t xml:space="preserve">2015年</x:t>
        </x:is>
      </x:c>
      <x:c r="M16" s="1" t="inlineStr">
        <x:is>
          <x:t xml:space="preserve">2014年</x:t>
        </x:is>
      </x:c>
      <x:c r="N16" s="1" t="inlineStr">
        <x:is>
          <x:t xml:space="preserve">2013年</x:t>
        </x:is>
      </x:c>
      <x:c r="O16" s="1" t="inlineStr">
        <x:is>
          <x:t xml:space="preserve">2012年</x:t>
        </x:is>
      </x:c>
      <x:c r="P16" s="1" t="inlineStr">
        <x:is>
          <x:t xml:space="preserve">2011年</x:t>
        </x:is>
      </x:c>
    </x:row>
    <x:row r="17" s="5" customFormat="1" ht="14.75" customHeight="1">
      <x:c r="A17" s="1" t="inlineStr">
        <x:is>
          <x:t xml:space="preserve">城乡居民生活用电（万千瓦时）</x:t>
        </x:is>
      </x:c>
      <x:c r="J17" s="3" t="n">
        <x:v>743590</x:v>
      </x:c>
      <x:c r="K17" s="3" t="n">
        <x:v>581018</x:v>
      </x:c>
      <x:c r="L17" s="3" t="n">
        <x:v>500268</x:v>
      </x:c>
      <x:c r="M17" s="3" t="n">
        <x:v>461407</x:v>
      </x:c>
      <x:c r="N17" s="3" t="n">
        <x:v>521894</x:v>
      </x:c>
      <x:c r="O17" s="3" t="n">
        <x:v>456214</x:v>
      </x:c>
      <x:c r="P17" s="4" t="n">
        <x:v>323710</x:v>
      </x:c>
    </x:row>
    <x:row r="18" s="5" customFormat="1" ht="14.75" customHeight="1">
      <x:c r="A18" s="1" t="inlineStr">
        <x:is>
          <x:t xml:space="preserve">同比增长</x:t>
        </x:is>
      </x:c>
      <x:c r="E18" s="2" t="n"/>
      <x:c r="J18">
        <x:f>ROUND((J17-K17)/K17*100,2)</x:f>
        <x:v>27.98</x:v>
      </x:c>
      <x:c r="K18">
        <x:f>ROUND((K17-L17)/L17*100,2)</x:f>
        <x:v>16.14</x:v>
      </x:c>
      <x:c r="L18">
        <x:f>ROUND((L17-M17)/M17*100,2)</x:f>
        <x:v>8.42</x:v>
      </x:c>
      <x:c r="M18">
        <x:f>ROUND((M17-N17)/N17*100,2)</x:f>
        <x:v>-11.59</x:v>
      </x:c>
      <x:c r="N18">
        <x:f>ROUND((N17-O17)/O17*100,2)</x:f>
        <x:v>14.4</x:v>
      </x:c>
      <x:c r="O18">
        <x:f>ROUND((O17-P17)/P17*100,2)</x:f>
        <x:v>40.93</x:v>
      </x:c>
    </x:row>
    <x:row r="19" s="5" customFormat="1" ht="14.75" customHeight="1">
      <x:c r="A19" s="1" t="inlineStr">
        <x:is>
          <x:t xml:space="preserve">社会总用电量（万千瓦时）</x:t>
        </x:is>
      </x:c>
      <x:c r="B19" s="3" t="n"/>
      <x:c r="C19" s="3" t="n"/>
      <x:c r="D19" s="3" t="n"/>
      <x:c r="E19" s="3" t="n"/>
      <x:c r="F19" s="3" t="n">
        <x:v>7582773</x:v>
      </x:c>
      <x:c r="G19" s="3" t="n">
        <x:v>6769400</x:v>
      </x:c>
      <x:c r="H19" s="3" t="n">
        <x:v>6916941</x:v>
      </x:c>
      <x:c r="I19" s="3" t="n">
        <x:v>6961903</x:v>
      </x:c>
      <x:c r="J19" s="3" t="n">
        <x:v>6618411</x:v>
      </x:c>
      <x:c r="K19" s="3" t="n">
        <x:v>6069996</x:v>
      </x:c>
      <x:c r="L19" s="3" t="n">
        <x:v>5679415</x:v>
      </x:c>
      <x:c r="M19" s="3" t="n">
        <x:v>5454612</x:v>
      </x:c>
      <x:c r="N19" s="3" t="n">
        <x:v>5492795</x:v>
      </x:c>
      <x:c r="O19" s="3" t="n">
        <x:v>5140791</x:v>
      </x:c>
      <x:c r="P19" s="4" t="n">
        <x:v>4780971</x:v>
      </x:c>
    </x:row>
    <x:row r="20" s="5" customFormat="1" ht="14.75" customHeight="1">
      <x:c r="A20" s="1" t="inlineStr">
        <x:is>
          <x:t xml:space="preserve">同比增长</x:t>
        </x:is>
      </x:c>
      <x:c r="E20" s="3" t="n"/>
      <x:c r="F20" s="3" t="n">
        <x:v>12.02</x:v>
      </x:c>
      <x:c r="G20" s="3" t="n">
        <x:v>-2.13</x:v>
      </x:c>
      <x:c r="H20" s="3" t="n">
        <x:v>-0.65</x:v>
      </x:c>
      <x:c r="I20" s="3" t="n">
        <x:v>5.19</x:v>
      </x:c>
      <x:c r="J20" s="3" t="n">
        <x:v>9.029999999999999</x:v>
      </x:c>
      <x:c r="K20" s="3" t="n">
        <x:v>6.88</x:v>
      </x:c>
      <x:c r="L20" s="3" t="n">
        <x:v>4.12</x:v>
      </x:c>
      <x:c r="M20" s="3" t="n">
        <x:v>-0.7</x:v>
      </x:c>
      <x:c r="N20" s="3" t="n">
        <x:v>6.85</x:v>
      </x:c>
      <x:c r="O20" s="3" t="n">
        <x:v>7.53</x:v>
      </x:c>
      <x:c r="P20" s="4" t="n">
        <x:v>11.62</x:v>
      </x:c>
    </x:row>
    <x:row r="30">
      <x:c r="A30" s="1" t="inlineStr">
        <x:is>
          <x:t xml:space="preserve">数据库：分省年度数据</x:t>
        </x:is>
      </x:c>
      <x:c r="B30" s="1" t="n"/>
      <x:c r="C30" s="1" t="n"/>
      <x:c r="D30" s="1" t="n"/>
      <x:c r="E30" s="1" t="n"/>
      <x:c r="F30" s="1" t="n"/>
      <x:c r="G30" s="1" t="n"/>
      <x:c r="H30" s="1" t="n"/>
      <x:c r="I30" s="1" t="n"/>
      <x:c r="J30" s="1" t="n"/>
      <x:c r="K30" s="1" t="n"/>
      <x:c r="L30" s="1" t="n"/>
      <x:c r="M30" s="1" t="n"/>
      <x:c r="N30" s="1" t="n"/>
      <x:c r="O30" s="1" t="n"/>
      <x:c r="P30" s="1" t="n"/>
    </x:row>
    <x:row r="31">
      <x:c r="A31" s="1" t="inlineStr">
        <x:is>
          <x:t xml:space="preserve">地区：南京</x:t>
        </x:is>
      </x:c>
      <x:c r="B31" s="1" t="n"/>
      <x:c r="C31" s="1" t="n"/>
      <x:c r="D31" s="1" t="n"/>
      <x:c r="E31" s="1" t="n"/>
      <x:c r="F31" s="1" t="n"/>
      <x:c r="G31" s="1" t="n"/>
      <x:c r="H31" s="1" t="n"/>
      <x:c r="I31" s="1" t="n"/>
      <x:c r="J31" s="1" t="n"/>
      <x:c r="K31" s="1" t="n"/>
      <x:c r="L31" s="1" t="n"/>
      <x:c r="M31" s="1" t="n"/>
      <x:c r="N31" s="1" t="n"/>
      <x:c r="O31" s="1" t="n"/>
      <x:c r="P31" s="1" t="n"/>
    </x:row>
    <x:row r="32">
      <x:c r="A32" s="1" t="inlineStr">
        <x:is>
          <x:t xml:space="preserve">时间：2011年-2025年</x:t>
        </x:is>
      </x:c>
      <x:c r="B32" s="1" t="n"/>
      <x:c r="C32" s="1" t="n"/>
      <x:c r="D32" s="1" t="n"/>
      <x:c r="E32" s="1" t="n"/>
      <x:c r="F32" s="1" t="n"/>
      <x:c r="G32" s="1" t="n"/>
      <x:c r="H32" s="1" t="n"/>
      <x:c r="I32" s="1" t="n"/>
      <x:c r="J32" s="1" t="n"/>
      <x:c r="K32" s="1" t="n"/>
      <x:c r="L32" s="1" t="n"/>
      <x:c r="M32" s="1" t="n"/>
      <x:c r="N32" s="1" t="n"/>
      <x:c r="O32" s="1" t="n"/>
      <x:c r="P32" s="1" t="n"/>
    </x:row>
    <x:row r="33" s="5" customFormat="1" ht="14.75" customHeight="1">
      <x:c r="A33" s="1" t="inlineStr">
        <x:is>
          <x:t xml:space="preserve">指标</x:t>
        </x:is>
      </x:c>
      <x:c r="B33" s="1" t="inlineStr">
        <x:is>
          <x:t xml:space="preserve">2025年</x:t>
        </x:is>
      </x:c>
      <x:c r="C33" s="1" t="inlineStr">
        <x:is>
          <x:t xml:space="preserve">2024年</x:t>
        </x:is>
      </x:c>
      <x:c r="D33" s="1" t="inlineStr">
        <x:is>
          <x:t xml:space="preserve">2023年</x:t>
        </x:is>
      </x:c>
      <x:c r="E33" s="1" t="inlineStr">
        <x:is>
          <x:t xml:space="preserve">2022年</x:t>
        </x:is>
      </x:c>
      <x:c r="F33" s="1" t="inlineStr">
        <x:is>
          <x:t xml:space="preserve">2021年</x:t>
        </x:is>
      </x:c>
      <x:c r="G33" s="1" t="inlineStr">
        <x:is>
          <x:t xml:space="preserve">2020年</x:t>
        </x:is>
      </x:c>
      <x:c r="H33" s="1" t="inlineStr">
        <x:is>
          <x:t xml:space="preserve">2019年</x:t>
        </x:is>
      </x:c>
      <x:c r="I33" s="1" t="inlineStr">
        <x:is>
          <x:t xml:space="preserve">2018年</x:t>
        </x:is>
      </x:c>
      <x:c r="J33" s="1" t="inlineStr">
        <x:is>
          <x:t xml:space="preserve">2017年</x:t>
        </x:is>
      </x:c>
      <x:c r="K33" s="1" t="inlineStr">
        <x:is>
          <x:t xml:space="preserve">2016年</x:t>
        </x:is>
      </x:c>
      <x:c r="L33" s="1" t="inlineStr">
        <x:is>
          <x:t xml:space="preserve">2015年</x:t>
        </x:is>
      </x:c>
      <x:c r="M33" s="1" t="inlineStr">
        <x:is>
          <x:t xml:space="preserve">2014年</x:t>
        </x:is>
      </x:c>
      <x:c r="N33" s="1" t="inlineStr">
        <x:is>
          <x:t xml:space="preserve">2013年</x:t>
        </x:is>
      </x:c>
      <x:c r="O33" s="1" t="inlineStr">
        <x:is>
          <x:t xml:space="preserve">2012年</x:t>
        </x:is>
      </x:c>
      <x:c r="P33" s="1" t="inlineStr">
        <x:is>
          <x:t xml:space="preserve">2011年</x:t>
        </x:is>
      </x:c>
    </x:row>
    <x:row r="34" s="5" customFormat="1" ht="14.75" customHeight="1">
      <x:c r="A34" s="1" t="inlineStr">
        <x:is>
          <x:t xml:space="preserve">城乡居民生活用电（万千瓦时）</x:t>
        </x:is>
      </x:c>
      <x:c r="B34" s="1" t="n"/>
      <x:c r="C34" s="1" t="n"/>
      <x:c r="D34" s="1" t="n"/>
      <x:c r="E34" s="1" t="n"/>
      <x:c r="F34" s="1" t="n"/>
      <x:c r="G34" s="1" t="n"/>
      <x:c r="H34" s="1" t="n"/>
      <x:c r="I34" s="1" t="n"/>
      <x:c r="J34" s="3" t="n">
        <x:v>635088</x:v>
      </x:c>
      <x:c r="K34" s="3" t="n">
        <x:v>764493</x:v>
      </x:c>
      <x:c r="L34" s="3" t="n">
        <x:v>653471</x:v>
      </x:c>
      <x:c r="M34" s="3" t="n">
        <x:v>607393</x:v>
      </x:c>
      <x:c r="N34" s="3" t="n">
        <x:v>675488</x:v>
      </x:c>
      <x:c r="O34" s="3" t="n">
        <x:v>560073</x:v>
      </x:c>
      <x:c r="P34" s="4" t="n">
        <x:v>495343</x:v>
      </x:c>
    </x:row>
    <x:row r="35" s="5" customFormat="1" ht="14.75" customHeight="1">
      <x:c r="A35" s="1" t="inlineStr">
        <x:is>
          <x:t xml:space="preserve">同比增长</x:t>
        </x:is>
      </x:c>
      <x:c r="B35" s="1" t="n"/>
      <x:c r="C35" s="1" t="n"/>
      <x:c r="D35" s="1" t="n"/>
      <x:c r="E35" s="2" t="n"/>
      <x:c r="J35">
        <x:f>ROUND((J34-K34)/K34*100,2)</x:f>
        <x:v>-16.93</x:v>
      </x:c>
      <x:c r="K35">
        <x:f>ROUND((K34-L34)/L34*100,2)</x:f>
        <x:v>16.99</x:v>
      </x:c>
      <x:c r="L35">
        <x:f>ROUND((L34-M34)/M34*100,2)</x:f>
        <x:v>7.59</x:v>
      </x:c>
      <x:c r="M35">
        <x:f>ROUND((M34-N34)/N34*100,2)</x:f>
        <x:v>-10.08</x:v>
      </x:c>
      <x:c r="N35">
        <x:f>ROUND((N34-O34)/O34*100,2)</x:f>
        <x:v>20.61</x:v>
      </x:c>
      <x:c r="O35">
        <x:f>ROUND((O34-P34)/P34*100,2)</x:f>
        <x:v>13.07</x:v>
      </x:c>
    </x:row>
    <x:row r="36" s="5" customFormat="1" ht="14.75" customHeight="1">
      <x:c r="A36" s="1" t="inlineStr">
        <x:is>
          <x:t xml:space="preserve">社会总用电量（万千瓦时）</x:t>
        </x:is>
      </x:c>
      <x:c r="B36" s="3" t="n">
        <x:v>8895.4</x:v>
      </x:c>
      <x:c r="C36" s="3" t="n">
        <x:v>8032000</x:v>
      </x:c>
      <x:c r="D36" s="3" t="n">
        <x:v>7472700</x:v>
      </x:c>
      <x:c r="E36" s="3" t="n">
        <x:v>7244600</x:v>
      </x:c>
      <x:c r="F36" s="3" t="n">
        <x:v>6835698</x:v>
      </x:c>
      <x:c r="G36" s="3" t="n">
        <x:v>6329425</x:v>
      </x:c>
      <x:c r="H36" s="3" t="n">
        <x:v>6215283</x:v>
      </x:c>
      <x:c r="I36" s="3" t="n">
        <x:v>6064005</x:v>
      </x:c>
      <x:c r="J36" s="3" t="n">
        <x:v>5569607</x:v>
      </x:c>
      <x:c r="K36" s="3" t="n">
        <x:v>5247863</x:v>
      </x:c>
      <x:c r="L36" s="3" t="n">
        <x:v>4951753</x:v>
      </x:c>
      <x:c r="M36" s="3" t="n">
        <x:v>4704973</x:v>
      </x:c>
      <x:c r="N36" s="3" t="n">
        <x:v>4626718</x:v>
      </x:c>
      <x:c r="O36" s="3" t="n">
        <x:v>4249554</x:v>
      </x:c>
      <x:c r="P36" s="3" t="n">
        <x:v>3997431</x:v>
      </x:c>
    </x:row>
    <x:row r="37" s="5" customFormat="1" ht="14.75" customHeight="1">
      <x:c r="A37" s="1" t="inlineStr">
        <x:is>
          <x:t xml:space="preserve">同比增长</x:t>
        </x:is>
      </x:c>
      <x:c r="B37" s="1" t="n"/>
      <x:c r="C37" s="1">
        <x:f>ROUND((C36-D36)/D36*100,2)</x:f>
        <x:v>7.48</x:v>
      </x:c>
      <x:c r="D37" s="3">
        <x:f>ROUND((D36-E36)/E36*100,2)</x:f>
        <x:v>3.15</x:v>
      </x:c>
      <x:c r="E37" s="3">
        <x:f>ROUND((E36-F36)/F36*100,2)</x:f>
        <x:v>5.98</x:v>
      </x:c>
      <x:c r="F37" s="3">
        <x:f>ROUND((F36-G36)/G36*100,2)</x:f>
        <x:v>8</x:v>
      </x:c>
      <x:c r="G37" s="3">
        <x:f>ROUND((G36-H36)/H36*100,2)</x:f>
        <x:v>1.84</x:v>
      </x:c>
      <x:c r="H37" s="3">
        <x:f>ROUND((H36-I36)/I36*100,2)</x:f>
        <x:v>2.49</x:v>
      </x:c>
      <x:c r="I37" s="3">
        <x:f>ROUND((I36-J36)/J36*100,2)</x:f>
        <x:v>8.88</x:v>
      </x:c>
      <x:c r="J37" s="3">
        <x:f>ROUND((J36-K36)/K36*100,2)</x:f>
        <x:v>6.13</x:v>
      </x:c>
      <x:c r="K37" s="3">
        <x:f>ROUND((K36-L36)/L36*100,2)</x:f>
        <x:v>5.98</x:v>
      </x:c>
      <x:c r="L37" s="3">
        <x:f>ROUND((L36-M36)/M36*100,2)</x:f>
        <x:v>5.25</x:v>
      </x:c>
      <x:c r="M37" s="3">
        <x:f>ROUND((M36-N36)/N36*100,2)</x:f>
        <x:v>1.69</x:v>
      </x:c>
      <x:c r="N37" s="4">
        <x:f>ROUND((N36-O36)/O36*100,2)</x:f>
        <x:v>8.88</x:v>
      </x:c>
      <x:c r="O37" s="3">
        <x:f>ROUND((O36-P36)/P36*100,2)</x:f>
        <x:v>6.31</x:v>
      </x:c>
      <x:c r="P37" s="3" t="n"/>
    </x:row>
  </x:sheetData>
  <x:pageMargins left="0.7" right="0.7" top="0.75" bottom="0.75" header="0.3" footer="0.3"/>
</x:worksheet>
</file>